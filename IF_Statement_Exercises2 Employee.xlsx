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JASWINI\Downloads\"/>
    </mc:Choice>
  </mc:AlternateContent>
  <xr:revisionPtr revIDLastSave="0" documentId="13_ncr:1_{E687B74E-62B1-4FCE-B679-59CBA1CE40A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4" i="1"/>
  <c r="F5" i="1"/>
  <c r="F6" i="1"/>
  <c r="F7" i="1"/>
  <c r="F8" i="1"/>
  <c r="F9" i="1"/>
  <c r="F4" i="1"/>
  <c r="G5" i="1"/>
  <c r="G6" i="1"/>
  <c r="G7" i="1"/>
  <c r="G8" i="1"/>
  <c r="G9" i="1"/>
  <c r="G4" i="1"/>
  <c r="H5" i="1"/>
  <c r="H6" i="1"/>
  <c r="H7" i="1"/>
  <c r="H8" i="1"/>
  <c r="H9" i="1"/>
  <c r="H4" i="1"/>
  <c r="I4" i="1" s="1"/>
  <c r="I5" i="1"/>
  <c r="I6" i="1"/>
  <c r="I7" i="1"/>
  <c r="I8" i="1"/>
  <c r="I9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<sst xmlns="http://schemas.openxmlformats.org/spreadsheetml/2006/main" count="34" uniqueCount="31">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</sst>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J12" sqref="J12"/>
    </sheetView>
  </sheetViews>
  <sheetFormatPr defaultRowHeight="14.4" x14ac:dyDescent="0.3"/>
  <cols>
    <col min="1" max="1" width="12.109375" customWidth="1"/>
    <col min="2" max="2" width="15.33203125" customWidth="1"/>
    <col min="3" max="3" width="12" customWidth="1"/>
    <col min="4" max="4" width="11.21875" customWidth="1"/>
    <col min="5" max="5" width="16" customWidth="1"/>
    <col min="6" max="6" width="18.21875" customWidth="1"/>
    <col min="7" max="7" width="16.21875" customWidth="1"/>
    <col min="8" max="8" width="17.33203125" customWidth="1"/>
    <col min="9" max="9" width="23.88671875" customWidth="1"/>
    <col min="10" max="10" width="58" customWidth="1"/>
    <col min="11" max="11" width="27.88671875" customWidth="1"/>
    <col min="12" max="12" width="15.77734375" customWidth="1"/>
    <col min="13" max="13" width="22.6640625" customWidth="1"/>
  </cols>
  <sheetData>
    <row r="1" spans="1:13" ht="18" x14ac:dyDescent="0.35">
      <c r="A1" s="1" t="s">
        <v>0</v>
      </c>
    </row>
    <row r="3" spans="1:13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>
        <v>301</v>
      </c>
      <c r="B4" s="4" t="s">
        <v>14</v>
      </c>
      <c r="C4" s="4">
        <v>320</v>
      </c>
      <c r="D4" s="4">
        <v>300</v>
      </c>
      <c r="E4" s="4" t="s">
        <v>15</v>
      </c>
      <c r="F4" s="4" t="str">
        <f>IF(C4&gt;=D4,"Achieved","Not Achieved")</f>
        <v>Achieved</v>
      </c>
      <c r="G4" s="4" t="str">
        <f>IF(AND(E4="Electronics",C4&gt;300),"Yes","No")</f>
        <v>Yes</v>
      </c>
      <c r="H4" s="4" t="str">
        <f>IF(C4&gt;=300,"12%",IF(C4&gt;=200,"8%","5%"))</f>
        <v>12%</v>
      </c>
      <c r="I4" s="4">
        <f>C4*H4</f>
        <v>38.4</v>
      </c>
      <c r="J4" s="4" t="str">
        <f>IF(C4&gt;=350,"Excellent",IF(C4&gt;=250,"Good",IF(C4&gt;=150,"Average","Poor")))</f>
        <v>Good</v>
      </c>
      <c r="K4" s="4"/>
      <c r="L4" s="4"/>
      <c r="M4" s="4"/>
    </row>
    <row r="5" spans="1:13" x14ac:dyDescent="0.3">
      <c r="A5" s="4">
        <v>302</v>
      </c>
      <c r="B5" s="4" t="s">
        <v>16</v>
      </c>
      <c r="C5" s="4">
        <v>180</v>
      </c>
      <c r="D5" s="4">
        <v>200</v>
      </c>
      <c r="E5" s="4" t="s">
        <v>17</v>
      </c>
      <c r="F5" s="4" t="str">
        <f t="shared" ref="F5:F9" si="0">IF(C5&gt;=D5,"Achieved","Not Achieved")</f>
        <v>Not Achieved</v>
      </c>
      <c r="G5" s="4" t="str">
        <f t="shared" ref="G5:G9" si="1">IF(AND(E5="Electronics",C5&gt;300),"Yes","No")</f>
        <v>No</v>
      </c>
      <c r="H5" s="4" t="str">
        <f t="shared" ref="H5:H9" si="2">IF(C5&gt;=300,"12%",IF(C5&gt;=200,"8%","5%"))</f>
        <v>5%</v>
      </c>
      <c r="I5" s="4">
        <f t="shared" ref="I5:I9" si="3">C5*H5</f>
        <v>9</v>
      </c>
      <c r="J5" s="4" t="str">
        <f t="shared" ref="J5:J9" si="4">IF(C5&gt;=350,"Excellent",IF(C5&gt;=250,"Good",IF(C5&gt;=150,"Average","Poor")))</f>
        <v>Average</v>
      </c>
      <c r="K5" s="4"/>
      <c r="L5" s="4"/>
      <c r="M5" s="4"/>
    </row>
    <row r="6" spans="1:13" x14ac:dyDescent="0.3">
      <c r="A6" s="4">
        <v>303</v>
      </c>
      <c r="B6" s="4" t="s">
        <v>18</v>
      </c>
      <c r="C6" s="4">
        <v>260</v>
      </c>
      <c r="D6" s="4">
        <v>250</v>
      </c>
      <c r="E6" s="4" t="s">
        <v>19</v>
      </c>
      <c r="F6" s="4" t="str">
        <f t="shared" si="0"/>
        <v>Achieved</v>
      </c>
      <c r="G6" s="4" t="str">
        <f t="shared" si="1"/>
        <v>No</v>
      </c>
      <c r="H6" s="4" t="str">
        <f t="shared" si="2"/>
        <v>8%</v>
      </c>
      <c r="I6" s="4">
        <f t="shared" si="3"/>
        <v>20.8</v>
      </c>
      <c r="J6" s="4" t="str">
        <f t="shared" si="4"/>
        <v>Good</v>
      </c>
      <c r="K6" s="4"/>
      <c r="L6" s="4"/>
      <c r="M6" s="4"/>
    </row>
    <row r="7" spans="1:13" x14ac:dyDescent="0.3">
      <c r="A7" s="4">
        <v>304</v>
      </c>
      <c r="B7" s="4" t="s">
        <v>20</v>
      </c>
      <c r="C7" s="4">
        <v>90</v>
      </c>
      <c r="D7" s="4">
        <v>120</v>
      </c>
      <c r="E7" s="4" t="s">
        <v>15</v>
      </c>
      <c r="F7" s="4" t="str">
        <f t="shared" si="0"/>
        <v>Not Achieved</v>
      </c>
      <c r="G7" s="4" t="str">
        <f t="shared" si="1"/>
        <v>No</v>
      </c>
      <c r="H7" s="4" t="str">
        <f t="shared" si="2"/>
        <v>5%</v>
      </c>
      <c r="I7" s="4">
        <f t="shared" si="3"/>
        <v>4.5</v>
      </c>
      <c r="J7" s="4" t="str">
        <f t="shared" si="4"/>
        <v>Poor</v>
      </c>
      <c r="K7" s="4"/>
      <c r="L7" s="4"/>
      <c r="M7" s="4"/>
    </row>
    <row r="8" spans="1:13" x14ac:dyDescent="0.3">
      <c r="A8" s="4">
        <v>305</v>
      </c>
      <c r="B8" s="4" t="s">
        <v>21</v>
      </c>
      <c r="C8" s="4">
        <v>400</v>
      </c>
      <c r="D8" s="4">
        <v>350</v>
      </c>
      <c r="E8" s="4" t="s">
        <v>17</v>
      </c>
      <c r="F8" s="4" t="str">
        <f t="shared" si="0"/>
        <v>Achieved</v>
      </c>
      <c r="G8" s="4" t="str">
        <f t="shared" si="1"/>
        <v>No</v>
      </c>
      <c r="H8" s="4" t="str">
        <f t="shared" si="2"/>
        <v>12%</v>
      </c>
      <c r="I8" s="4">
        <f t="shared" si="3"/>
        <v>48</v>
      </c>
      <c r="J8" s="4" t="str">
        <f t="shared" si="4"/>
        <v>Excellent</v>
      </c>
      <c r="K8" s="4"/>
      <c r="L8" s="4"/>
      <c r="M8" s="4"/>
    </row>
    <row r="9" spans="1:13" x14ac:dyDescent="0.3">
      <c r="A9" s="4">
        <v>306</v>
      </c>
      <c r="B9" s="4" t="s">
        <v>22</v>
      </c>
      <c r="C9" s="4">
        <v>150</v>
      </c>
      <c r="D9" s="4">
        <v>150</v>
      </c>
      <c r="E9" s="4" t="s">
        <v>19</v>
      </c>
      <c r="F9" s="4" t="str">
        <f t="shared" si="0"/>
        <v>Achieved</v>
      </c>
      <c r="G9" s="4" t="str">
        <f t="shared" si="1"/>
        <v>No</v>
      </c>
      <c r="H9" s="4" t="str">
        <f t="shared" si="2"/>
        <v>5%</v>
      </c>
      <c r="I9" s="4">
        <f t="shared" si="3"/>
        <v>7.5</v>
      </c>
      <c r="J9" s="4" t="str">
        <f t="shared" si="4"/>
        <v>Average</v>
      </c>
      <c r="K9" s="4"/>
      <c r="L9" s="4"/>
      <c r="M9" s="4"/>
    </row>
    <row r="12" spans="1:13" x14ac:dyDescent="0.3">
      <c r="A12" s="2" t="s">
        <v>23</v>
      </c>
      <c r="B12" s="2"/>
      <c r="C12" s="2"/>
      <c r="D12" s="2"/>
      <c r="E12" s="2"/>
      <c r="F12" s="2"/>
      <c r="G12" s="2"/>
    </row>
    <row r="13" spans="1:13" ht="63.45" customHeight="1" x14ac:dyDescent="0.3">
      <c r="A13" s="5" t="s">
        <v>30</v>
      </c>
      <c r="B13" s="5"/>
      <c r="C13" s="5"/>
      <c r="D13" s="5"/>
      <c r="E13" s="5"/>
      <c r="F13" s="5"/>
      <c r="G13" s="5"/>
    </row>
    <row r="14" spans="1:13" ht="87" customHeight="1" x14ac:dyDescent="0.3">
      <c r="A14" s="5" t="s">
        <v>24</v>
      </c>
      <c r="B14" s="5"/>
      <c r="C14" s="5"/>
      <c r="D14" s="5"/>
      <c r="E14" s="5"/>
      <c r="F14" s="5"/>
      <c r="G14" s="5"/>
    </row>
    <row r="15" spans="1:13" ht="65.55" customHeight="1" x14ac:dyDescent="0.3">
      <c r="A15" s="5" t="s">
        <v>25</v>
      </c>
      <c r="B15" s="5"/>
      <c r="C15" s="5"/>
      <c r="D15" s="5"/>
      <c r="E15" s="5"/>
      <c r="F15" s="5"/>
      <c r="G15" s="5"/>
    </row>
    <row r="16" spans="1:13" ht="103.95" customHeight="1" x14ac:dyDescent="0.3">
      <c r="A16" s="5" t="s">
        <v>26</v>
      </c>
      <c r="B16" s="5"/>
      <c r="C16" s="5"/>
      <c r="D16" s="5"/>
      <c r="E16" s="5"/>
      <c r="F16" s="5"/>
      <c r="G16" s="5"/>
    </row>
    <row r="17" spans="1:7" ht="90.45" customHeight="1" x14ac:dyDescent="0.3">
      <c r="A17" s="5" t="s">
        <v>27</v>
      </c>
      <c r="B17" s="5"/>
      <c r="C17" s="5"/>
      <c r="D17" s="5"/>
      <c r="E17" s="5"/>
      <c r="F17" s="5"/>
      <c r="G17" s="5"/>
    </row>
    <row r="18" spans="1:7" ht="64.05" customHeight="1" x14ac:dyDescent="0.3">
      <c r="A18" s="5" t="s">
        <v>28</v>
      </c>
      <c r="B18" s="5"/>
      <c r="C18" s="5"/>
      <c r="D18" s="5"/>
      <c r="E18" s="5"/>
      <c r="F18" s="5"/>
      <c r="G18" s="5"/>
    </row>
    <row r="19" spans="1:7" ht="87" customHeight="1" x14ac:dyDescent="0.3">
      <c r="A19" s="5" t="s">
        <v>29</v>
      </c>
      <c r="B19" s="5"/>
      <c r="C19" s="5"/>
      <c r="D19" s="5"/>
      <c r="E19" s="5"/>
      <c r="F19" s="5"/>
      <c r="G19" s="5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Tejaswini Andhale</cp:lastModifiedBy>
  <dcterms:created xsi:type="dcterms:W3CDTF">2026-05-21T04:22:38Z</dcterms:created>
  <dcterms:modified xsi:type="dcterms:W3CDTF">2026-05-21T08:05:40Z</dcterms:modified>
</cp:coreProperties>
</file>