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JASWINI\Downloads\"/>
    </mc:Choice>
  </mc:AlternateContent>
  <xr:revisionPtr revIDLastSave="0" documentId="13_ncr:1_{BA0DA7D8-2722-4398-A708-76B95B680C31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2" i="1"/>
  <c r="L7" i="1"/>
  <c r="L6" i="1"/>
  <c r="L5" i="1"/>
  <c r="L4" i="1"/>
  <c r="L3" i="1"/>
  <c r="K7" i="1"/>
  <c r="K6" i="1"/>
  <c r="K5" i="1"/>
  <c r="K4" i="1"/>
  <c r="K3" i="1"/>
  <c r="K2" i="1"/>
  <c r="J7" i="1"/>
  <c r="J6" i="1"/>
  <c r="J5" i="1"/>
  <c r="J3" i="1"/>
  <c r="J4" i="1"/>
  <c r="J2" i="1"/>
  <c r="I7" i="1"/>
  <c r="I6" i="1"/>
  <c r="I5" i="1"/>
  <c r="I4" i="1"/>
  <c r="I3" i="1"/>
  <c r="I2" i="1"/>
  <c r="G4" i="1"/>
  <c r="F7" i="1"/>
  <c r="F6" i="1"/>
  <c r="F5" i="1"/>
  <c r="F4" i="1"/>
  <c r="F3" i="1"/>
  <c r="F2" i="1"/>
  <c r="G7" i="1"/>
  <c r="G6" i="1"/>
  <c r="G5" i="1"/>
  <c r="G3" i="1"/>
  <c r="G2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<sst xmlns="http://schemas.openxmlformats.org/spreadsheetml/2006/main" count="33" uniqueCount="31">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</sst>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22" sqref="I22"/>
    </sheetView>
  </sheetViews>
  <sheetFormatPr defaultRowHeight="14.4" x14ac:dyDescent="0.3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7.109375" customWidth="1"/>
    <col min="11" max="11" width="11.44140625" customWidth="1"/>
    <col min="12" max="12" width="15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IF(C1&gt;=D1,"YES","NO")</f>
        <v>NO</v>
      </c>
      <c r="G2" t="str">
        <f>IF(AND(E2="North",C2&gt;200),"Eligibal","not eligibal")</f>
        <v>not eligibal</v>
      </c>
      <c r="H2">
        <f>IF(C2&gt;=200, 0.1, IF(C2&gt;=150, 0.07, 0.05))</f>
        <v>0.05</v>
      </c>
      <c r="I2">
        <f>IF(C2&gt;=D2,C2*0.1,C2*0.05)</f>
        <v>6</v>
      </c>
      <c r="J2" t="str">
        <f>IF(C2&gt;=200,"Exellent",IF(C2&gt;150,"Good","Need Improvement"))</f>
        <v>Need Improvement</v>
      </c>
      <c r="K2" t="str">
        <f>IF(C2&gt;200,"High",IF(C2&gt;100,"Medium","Low"))</f>
        <v>Medium</v>
      </c>
      <c r="L2">
        <f>IF(AND(C2&gt;=150,E2="North"),500,300)</f>
        <v>300</v>
      </c>
      <c r="M2" t="str">
        <f>IF(C2&gt;=PERCENTILE($C$2:$C$7,0.75),"YES","NO")</f>
        <v>NO</v>
      </c>
    </row>
    <row r="3" spans="1:13" x14ac:dyDescent="0.3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>IF(C3&gt;=D3,"YES","NO")</f>
        <v>YES</v>
      </c>
      <c r="G3" t="str">
        <f>IF(AND(E3="North",C3&gt;200),"Eligible","Not Eligible")</f>
        <v>Not Eligible</v>
      </c>
      <c r="H3">
        <f>IF(C3&gt;=200, 0.1, IF(C3&gt;=150, 0.07, 0.05))</f>
        <v>7.0000000000000007E-2</v>
      </c>
      <c r="I3">
        <f>IF(C3&gt;=D3,C3*0.1,C3*0.05)</f>
        <v>15</v>
      </c>
      <c r="J3" t="str">
        <f>IF(C3&gt;=200,"Exellent",IF(C3&gt;=150,"Good","Need Improvement"))</f>
        <v>Good</v>
      </c>
      <c r="K3" t="str">
        <f>IF(C3&gt;200,"High",IF(C3&gt;100,"Medium","Low"))</f>
        <v>Medium</v>
      </c>
      <c r="L3">
        <f>IF(AND(C3&gt;=150,E3="North"),500,300)</f>
        <v>300</v>
      </c>
      <c r="M3" t="str">
        <f t="shared" ref="M3:M7" si="0">IF(C3&gt;=PERCENTILE($C$2:$C$7,0.75),"YES","NO")</f>
        <v>NO</v>
      </c>
    </row>
    <row r="4" spans="1:13" x14ac:dyDescent="0.3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>IF(C4&gt;=D4,"YES","NO")</f>
        <v>YES</v>
      </c>
      <c r="G4" s="4" t="str">
        <f>IF(AND(E4="North",C3&gt;200),"Eligible","Not Eligible")</f>
        <v>Not Eligible</v>
      </c>
      <c r="H4" s="4">
        <f>IF(C4&gt;=200, 0.1, IF(C4&gt;=150, 0.07, 0.05))</f>
        <v>0.1</v>
      </c>
      <c r="I4">
        <f>IF(C4&gt;=D4,C4*0.1,C4*0.05)</f>
        <v>20</v>
      </c>
      <c r="J4" t="str">
        <f>IF(C4&gt;=200,"Exellent",IF(C4&gt;150,"Good","Need Improvement"))</f>
        <v>Exellent</v>
      </c>
      <c r="K4" t="str">
        <f>IF(C4&gt;200,"High",IF(C4&gt;100,"Medium","Low"))</f>
        <v>Medium</v>
      </c>
      <c r="L4">
        <f>IF(AND(C4&gt;=150,E4="North"),500,300)</f>
        <v>300</v>
      </c>
      <c r="M4" t="str">
        <f t="shared" si="0"/>
        <v>YES</v>
      </c>
    </row>
    <row r="5" spans="1:13" x14ac:dyDescent="0.3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>IF(C5&gt;=D5,"YES","NO")</f>
        <v>NO</v>
      </c>
      <c r="G5" s="4" t="str">
        <f>IF(AND(E5="North",C5&gt;200),"Eligible","Not Eligible")</f>
        <v>Not Eligible</v>
      </c>
      <c r="H5" s="4">
        <f>IF(C5&gt;=200, 0.1, IF(C5&gt;=150, 0.07, 0.05))</f>
        <v>0.05</v>
      </c>
      <c r="I5">
        <f>IF(C5&gt;=D5,C5*0.1,C5*0.05)</f>
        <v>4.5</v>
      </c>
      <c r="J5" t="str">
        <f>IF(C5&gt;=200,"Exellent",IF(C5&gt;=150,"Good","Need Improvement"))</f>
        <v>Need Improvement</v>
      </c>
      <c r="K5" t="str">
        <f>IF(C5&gt;200,"High",IF(C5&gt;100,"Medium","Low"))</f>
        <v>Low</v>
      </c>
      <c r="L5">
        <f>IF(AND(C4&gt;=150,E4="North"),500,300)</f>
        <v>300</v>
      </c>
      <c r="M5" t="str">
        <f t="shared" si="0"/>
        <v>NO</v>
      </c>
    </row>
    <row r="6" spans="1:13" x14ac:dyDescent="0.3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>IF(C6&gt;=D6,"YES","NO")</f>
        <v>YES</v>
      </c>
      <c r="G6" t="str">
        <f>IF(AND(E6="North",C6&gt;200),"Eligible","Not Eligible")</f>
        <v>Eligible</v>
      </c>
      <c r="H6">
        <f>IF(C6&gt;=200, 0.1, IF(C6&gt;=150, 0.07, 0.05))</f>
        <v>0.1</v>
      </c>
      <c r="I6">
        <f>IF(C6&gt;=D6,C6*0.1,C6*0.05)</f>
        <v>22</v>
      </c>
      <c r="J6" t="str">
        <f>IF(C6&gt;=200,"Exellent",IF(C6&gt;=150,"Good","Need Improvement"))</f>
        <v>Exellent</v>
      </c>
      <c r="K6" t="str">
        <f>IF(C6&gt;200,"High",IF(C6&gt;100,"Medium","Low"))</f>
        <v>High</v>
      </c>
      <c r="L6">
        <f>IF(AND(C6&gt;=150,E6="North"),500,300)</f>
        <v>500</v>
      </c>
      <c r="M6" t="str">
        <f t="shared" si="0"/>
        <v>YES</v>
      </c>
    </row>
    <row r="7" spans="1:13" x14ac:dyDescent="0.3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>IF(C7&gt;=D7,"YES","NO")</f>
        <v>NO</v>
      </c>
      <c r="G7" t="str">
        <f>IF(AND(E7="North",C7&gt;200),"Eligible","Not Eligible")</f>
        <v>Not Eligible</v>
      </c>
      <c r="H7">
        <f>IF(C7&gt;=200, 0.1, IF(C7&gt;=150, 0.07, 0.05))</f>
        <v>0.05</v>
      </c>
      <c r="I7">
        <f>IF(C7&gt;=D7,C7*0.1,C7*0.05)</f>
        <v>6.5</v>
      </c>
      <c r="J7" t="str">
        <f>IF(C7&gt;=200,"Exellent",IF(C7&gt;=150,"Good","Need Improvement"))</f>
        <v>Need Improvement</v>
      </c>
      <c r="K7" t="str">
        <f>IF(C7&gt;200,"High",IF(C7&gt;100,"Medium","Low"))</f>
        <v>Medium</v>
      </c>
      <c r="L7">
        <f>IF(AND(C7&gt;=150,E7="North"),500,300)</f>
        <v>300</v>
      </c>
      <c r="M7" t="str">
        <f t="shared" si="0"/>
        <v>NO</v>
      </c>
    </row>
    <row r="10" spans="1:13" x14ac:dyDescent="0.3">
      <c r="A10" t="s">
        <v>26</v>
      </c>
    </row>
    <row r="11" spans="1:13" x14ac:dyDescent="0.3">
      <c r="A11" t="s">
        <v>23</v>
      </c>
    </row>
    <row r="12" spans="1:13" x14ac:dyDescent="0.3">
      <c r="A12" t="s">
        <v>24</v>
      </c>
    </row>
    <row r="13" spans="1:13" x14ac:dyDescent="0.3">
      <c r="A13" t="s">
        <v>25</v>
      </c>
    </row>
    <row r="14" spans="1:13" ht="16.95" customHeight="1" x14ac:dyDescent="0.3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t="s">
        <v>27</v>
      </c>
    </row>
    <row r="17" spans="1:1" x14ac:dyDescent="0.3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Andhale</cp:lastModifiedBy>
  <dcterms:created xsi:type="dcterms:W3CDTF">2026-05-20T11:39:18Z</dcterms:created>
  <dcterms:modified xsi:type="dcterms:W3CDTF">2026-05-21T07:20:27Z</dcterms:modified>
</cp:coreProperties>
</file>